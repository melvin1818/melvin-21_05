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vin ortega\Desktop\"/>
    </mc:Choice>
  </mc:AlternateContent>
  <xr:revisionPtr revIDLastSave="0" documentId="13_ncr:1_{5B17F23A-BD5B-44D7-B532-BF7BBA6617CE}" xr6:coauthVersionLast="47" xr6:coauthVersionMax="47" xr10:uidLastSave="{00000000-0000-0000-0000-000000000000}"/>
  <bookViews>
    <workbookView xWindow="-120" yWindow="-120" windowWidth="20730" windowHeight="11160" xr2:uid="{66FCFFA3-15A6-41E6-9250-8B79C483F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<sst xmlns="http://schemas.openxmlformats.org/spreadsheetml/2006/main" count="20" uniqueCount="20">
  <si>
    <t>NIT</t>
  </si>
  <si>
    <t>EMPRESA</t>
  </si>
  <si>
    <t xml:space="preserve">MONTO SOLICITADO </t>
  </si>
  <si>
    <t>INGRESOS MENSUALES</t>
  </si>
  <si>
    <t>DICTAMEN INICIAL</t>
  </si>
  <si>
    <t xml:space="preserve">arboles s.a </t>
  </si>
  <si>
    <t>matices s.a</t>
  </si>
  <si>
    <t>licorera s.a</t>
  </si>
  <si>
    <t>coca-cola s.a</t>
  </si>
  <si>
    <t>pepsi s.a</t>
  </si>
  <si>
    <t>mac¨donalds</t>
  </si>
  <si>
    <t>flores s.a</t>
  </si>
  <si>
    <t>seven s.a</t>
  </si>
  <si>
    <t>la curacao</t>
  </si>
  <si>
    <t>walmart</t>
  </si>
  <si>
    <t>tiendas max</t>
  </si>
  <si>
    <t>tienda el tacon</t>
  </si>
  <si>
    <t>el gallo mas gallo</t>
  </si>
  <si>
    <t>anfora</t>
  </si>
  <si>
    <t>tropigas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</si>
</sst>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AB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6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164" formatCode="&quot;Q&quot;#,##0.00"/>
      <fill>
        <patternFill patternType="solid">
          <fgColor indexed="64"/>
          <bgColor rgb="FFFFDAB9"/>
        </patternFill>
      </fill>
    </dxf>
    <dxf>
      <numFmt numFmtId="164" formatCode="&quot;Q&quot;#,##0.00"/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  <dxf>
      <fill>
        <patternFill patternType="solid">
          <fgColor indexed="64"/>
          <bgColor rgb="FFFFDAB9"/>
        </patternFill>
      </fill>
    </dxf>
  </dxfs>
  <tableStyles count="0" defaultTableStyle="TableStyleMedium2" defaultPivotStyle="PivotStyleLight16"/>
  <colors>
    <mruColors>
      <color rgb="FFA2CFFE"/>
      <color rgb="FFAAF0D1"/>
      <color rgb="FFFFDA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78FA02-051A-41CB-93C5-47752EBB1A42}" name="Tabla2" displayName="Tabla2" ref="A1:E16" totalsRowShown="0" headerRowDxfId="0">
  <autoFilter ref="A1:E16" xr:uid="{4678FA02-051A-41CB-93C5-47752EBB1A42}"/>
  <tableColumns count="5">
    <tableColumn id="1" xr3:uid="{D875D390-33F7-4952-8CBF-D924FAF462E5}" name="NIT" dataDxfId="5"/>
    <tableColumn id="2" xr3:uid="{786EEEEA-5B9A-48F4-A672-BB0C92EE93B7}" name="EMPRESA" dataDxfId="4"/>
    <tableColumn id="3" xr3:uid="{11C718F1-E7D5-47DC-BB34-8E8C3A4A4AF8}" name="MONTO SOLICITADO " dataDxfId="3"/>
    <tableColumn id="4" xr3:uid="{8AC79903-E590-4630-B73F-DBE3EB2BB614}" name="INGRESOS MENSUALES" dataDxfId="2"/>
    <tableColumn id="5" xr3:uid="{DD3DA196-B9CA-4DB5-A251-0834544C1F11}" name="DICTAMEN INICIAL" dataDxfId="1">
      <calculatedColumnFormula>IF(AND(D2&gt;=50000),"aprobacion inmediata",IF(AND(D2=30000,D2&lt;50000),"requiere deudor",IF(AND(D2&gt;=15000,D2&lt;30000),"analisis de comité","credito denegado")))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F04B-22A8-4FBD-A838-7F5F9B85AE2B}">
  <dimension ref="A1:E16"/>
  <sheetViews>
    <sheetView tabSelected="1" workbookViewId="0">
      <selection activeCell="F8" sqref="F8"/>
    </sheetView>
  </sheetViews>
  <sheetFormatPr baseColWidth="10" defaultRowHeight="15" x14ac:dyDescent="0.25"/>
  <cols>
    <col min="2" max="2" width="16.5703125" customWidth="1"/>
    <col min="3" max="3" width="21.5703125" style="1" customWidth="1"/>
    <col min="4" max="4" width="23" style="1" customWidth="1"/>
    <col min="5" max="5" width="20.140625" customWidth="1"/>
  </cols>
  <sheetData>
    <row r="1" spans="1:5" x14ac:dyDescent="0.2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</row>
    <row r="2" spans="1:5" x14ac:dyDescent="0.25">
      <c r="A2" s="2">
        <v>2526332545</v>
      </c>
      <c r="B2" s="2" t="s">
        <v>5</v>
      </c>
      <c r="C2" s="3">
        <v>5000</v>
      </c>
      <c r="D2" s="3">
        <v>10000</v>
      </c>
      <c r="E2" s="4" t="str">
        <f>IF(AND(D2&gt;=50000),"aprobacion inmediata",IF(AND(D2=30000,D2&lt;50000),"requiere deudor",IF(AND(D2&gt;=15000,D2&lt;30000),"analisis de comité","credito denegado")))</f>
        <v>credito denegado</v>
      </c>
    </row>
    <row r="3" spans="1:5" x14ac:dyDescent="0.25">
      <c r="A3" s="2">
        <v>2654456231</v>
      </c>
      <c r="B3" s="2" t="s">
        <v>6</v>
      </c>
      <c r="C3" s="3">
        <v>6000</v>
      </c>
      <c r="D3" s="3">
        <v>50000</v>
      </c>
      <c r="E3" s="4" t="str">
        <f t="shared" ref="E3:E16" si="0">IF(AND(D3&gt;=50000),"aprobacion inmediata",IF(AND(D3=30000,D3&lt;50000),"requiere deudor",IF(AND(D3&gt;=15000,D3&lt;30000),"analisis de comité","credito denegado")))</f>
        <v>aprobacion inmediata</v>
      </c>
    </row>
    <row r="4" spans="1:5" x14ac:dyDescent="0.25">
      <c r="A4" s="2">
        <v>2256545985</v>
      </c>
      <c r="B4" s="2" t="s">
        <v>7</v>
      </c>
      <c r="C4" s="3">
        <v>4000</v>
      </c>
      <c r="D4" s="3">
        <v>25000</v>
      </c>
      <c r="E4" s="4" t="str">
        <f t="shared" si="0"/>
        <v>analisis de comité</v>
      </c>
    </row>
    <row r="5" spans="1:5" x14ac:dyDescent="0.25">
      <c r="A5" s="2">
        <v>3265498752</v>
      </c>
      <c r="B5" s="2" t="s">
        <v>8</v>
      </c>
      <c r="C5" s="3">
        <v>3000</v>
      </c>
      <c r="D5" s="3">
        <v>15000</v>
      </c>
      <c r="E5" s="4" t="str">
        <f t="shared" si="0"/>
        <v>analisis de comité</v>
      </c>
    </row>
    <row r="6" spans="1:5" x14ac:dyDescent="0.25">
      <c r="A6" s="2">
        <v>2654897562</v>
      </c>
      <c r="B6" s="2" t="s">
        <v>9</v>
      </c>
      <c r="C6" s="3">
        <v>5600</v>
      </c>
      <c r="D6" s="3">
        <v>22000</v>
      </c>
      <c r="E6" s="4" t="str">
        <f t="shared" si="0"/>
        <v>analisis de comité</v>
      </c>
    </row>
    <row r="7" spans="1:5" x14ac:dyDescent="0.25">
      <c r="A7" s="2">
        <v>2312654987</v>
      </c>
      <c r="B7" s="2" t="s">
        <v>10</v>
      </c>
      <c r="C7" s="3">
        <v>7500</v>
      </c>
      <c r="D7" s="3">
        <v>4500</v>
      </c>
      <c r="E7" s="4" t="str">
        <f t="shared" si="0"/>
        <v>credito denegado</v>
      </c>
    </row>
    <row r="8" spans="1:5" x14ac:dyDescent="0.25">
      <c r="A8" s="2">
        <v>1236549875</v>
      </c>
      <c r="B8" s="2" t="s">
        <v>11</v>
      </c>
      <c r="C8" s="3">
        <v>3200</v>
      </c>
      <c r="D8" s="3">
        <v>9000</v>
      </c>
      <c r="E8" s="4" t="str">
        <f t="shared" si="0"/>
        <v>credito denegado</v>
      </c>
    </row>
    <row r="9" spans="1:5" x14ac:dyDescent="0.25">
      <c r="A9" s="2">
        <v>4569871230</v>
      </c>
      <c r="B9" s="2" t="s">
        <v>12</v>
      </c>
      <c r="C9" s="3">
        <v>6500</v>
      </c>
      <c r="D9" s="3">
        <v>10000</v>
      </c>
      <c r="E9" s="4" t="str">
        <f t="shared" si="0"/>
        <v>credito denegado</v>
      </c>
    </row>
    <row r="10" spans="1:5" x14ac:dyDescent="0.25">
      <c r="A10" s="2">
        <v>2269879543</v>
      </c>
      <c r="B10" s="2" t="s">
        <v>13</v>
      </c>
      <c r="C10" s="3">
        <v>8900</v>
      </c>
      <c r="D10" s="3">
        <v>21000</v>
      </c>
      <c r="E10" s="4" t="str">
        <f t="shared" si="0"/>
        <v>analisis de comité</v>
      </c>
    </row>
    <row r="11" spans="1:5" x14ac:dyDescent="0.25">
      <c r="A11" s="2">
        <v>3265987410</v>
      </c>
      <c r="B11" s="2" t="s">
        <v>14</v>
      </c>
      <c r="C11" s="3">
        <v>6555</v>
      </c>
      <c r="D11" s="3">
        <v>16000</v>
      </c>
      <c r="E11" s="4" t="str">
        <f t="shared" si="0"/>
        <v>analisis de comité</v>
      </c>
    </row>
    <row r="12" spans="1:5" x14ac:dyDescent="0.25">
      <c r="A12" s="2">
        <v>2369852147</v>
      </c>
      <c r="B12" s="2" t="s">
        <v>15</v>
      </c>
      <c r="C12" s="3">
        <v>4555</v>
      </c>
      <c r="D12" s="3">
        <v>13000</v>
      </c>
      <c r="E12" s="4" t="str">
        <f t="shared" si="0"/>
        <v>credito denegado</v>
      </c>
    </row>
    <row r="13" spans="1:5" x14ac:dyDescent="0.25">
      <c r="A13" s="2">
        <v>1230654985</v>
      </c>
      <c r="B13" s="2" t="s">
        <v>16</v>
      </c>
      <c r="C13" s="3">
        <v>3666</v>
      </c>
      <c r="D13" s="3">
        <v>17000</v>
      </c>
      <c r="E13" s="4" t="str">
        <f t="shared" si="0"/>
        <v>analisis de comité</v>
      </c>
    </row>
    <row r="14" spans="1:5" x14ac:dyDescent="0.25">
      <c r="A14" s="2">
        <v>2316549802</v>
      </c>
      <c r="B14" s="2" t="s">
        <v>17</v>
      </c>
      <c r="C14" s="3">
        <v>5964</v>
      </c>
      <c r="D14" s="3">
        <v>18500</v>
      </c>
      <c r="E14" s="4" t="str">
        <f t="shared" si="0"/>
        <v>analisis de comité</v>
      </c>
    </row>
    <row r="15" spans="1:5" x14ac:dyDescent="0.25">
      <c r="A15" s="2">
        <v>2237416520</v>
      </c>
      <c r="B15" s="2" t="s">
        <v>18</v>
      </c>
      <c r="C15" s="3">
        <v>3201</v>
      </c>
      <c r="D15" s="3">
        <v>25000</v>
      </c>
      <c r="E15" s="4" t="str">
        <f t="shared" si="0"/>
        <v>analisis de comité</v>
      </c>
    </row>
    <row r="16" spans="1:5" x14ac:dyDescent="0.25">
      <c r="A16" s="2">
        <v>3269875410</v>
      </c>
      <c r="B16" s="2" t="s">
        <v>19</v>
      </c>
      <c r="C16" s="3">
        <v>4879</v>
      </c>
      <c r="D16" s="3">
        <v>12000</v>
      </c>
      <c r="E16" s="4" t="str">
        <f t="shared" si="0"/>
        <v>credito denegado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ortega</dc:creator>
  <cp:lastModifiedBy>melvin ortega</cp:lastModifiedBy>
  <dcterms:created xsi:type="dcterms:W3CDTF">2026-05-21T15:09:29Z</dcterms:created>
  <dcterms:modified xsi:type="dcterms:W3CDTF">2026-05-21T16:33:03Z</dcterms:modified>
</cp:coreProperties>
</file>