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vin ortega\Desktop\"/>
    </mc:Choice>
  </mc:AlternateContent>
  <xr:revisionPtr revIDLastSave="0" documentId="8_{5C03BD5F-8439-4901-AA24-7C69C96D4807}" xr6:coauthVersionLast="47" xr6:coauthVersionMax="47" xr10:uidLastSave="{00000000-0000-0000-0000-000000000000}"/>
  <bookViews>
    <workbookView xWindow="-120" yWindow="-120" windowWidth="20730" windowHeight="11160" xr2:uid="{A9892904-FF84-4123-9CE4-7FA3AE34685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<sst xmlns="http://schemas.openxmlformats.org/spreadsheetml/2006/main" count="40" uniqueCount="21">
  <si>
    <t>CODIGO</t>
  </si>
  <si>
    <t>DESCRIPCION</t>
  </si>
  <si>
    <t xml:space="preserve">CATEGORIA PRODUCTO </t>
  </si>
  <si>
    <t>CATEGORIA PRODUCTO</t>
  </si>
  <si>
    <t>sofware</t>
  </si>
  <si>
    <t>redes</t>
  </si>
  <si>
    <t>licencias</t>
  </si>
  <si>
    <t>PORCENTAJES</t>
  </si>
  <si>
    <t>IMPUESTO APLICABLE</t>
  </si>
  <si>
    <t>windows 11</t>
  </si>
  <si>
    <t>cable de red</t>
  </si>
  <si>
    <t>monitor hp</t>
  </si>
  <si>
    <t>telefono android</t>
  </si>
  <si>
    <t>bocinas jbl rojas</t>
  </si>
  <si>
    <t>playstacion 4</t>
  </si>
  <si>
    <t>computadoras dell</t>
  </si>
  <si>
    <t>playstacion 2</t>
  </si>
  <si>
    <t>monitor brocs</t>
  </si>
  <si>
    <t>linux 10</t>
  </si>
  <si>
    <t>hadware</t>
  </si>
  <si>
    <t>microsoft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</si>
</sst>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5"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numFmt numFmtId="0" formatCode="General"/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32A21-448D-42D1-9FEE-EF0586CBB9A3}" name="Tabla1" displayName="Tabla1" ref="A1:D16" totalsRowShown="0" headerRowDxfId="3">
  <autoFilter ref="A1:D16" xr:uid="{8F732A21-448D-42D1-9FEE-EF0586CBB9A3}"/>
  <tableColumns count="4">
    <tableColumn id="1" xr3:uid="{CDB45619-242B-4389-AA4E-0EB7EB37B7D3}" name="CODIGO"/>
    <tableColumn id="2" xr3:uid="{C19A0206-53B9-440C-9398-B494409EF463}" name="DESCRIPCION"/>
    <tableColumn id="3" xr3:uid="{5B63A046-E63A-4D7D-9C73-9118FC7FB44D}" name="CATEGORIA PRODUCTO "/>
    <tableColumn id="4" xr3:uid="{74FF0B91-9CC8-4DF2-8017-B840AB890BB8}" name="IMPUESTO APLICABLE" dataDxfId="4">
      <calculatedColumnFormula>VLOOKUP(Tabla1[[#This Row],[CATEGORIA PRODUCTO ]],Tabla2[],2,FALSE)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78A7F5-E28C-45A7-879C-8288A24B0A4F}" name="Tabla2" displayName="Tabla2" ref="A1:B5" totalsRowShown="0" headerRowDxfId="2">
  <autoFilter ref="A1:B5" xr:uid="{C978A7F5-E28C-45A7-879C-8288A24B0A4F}"/>
  <tableColumns count="2">
    <tableColumn id="1" xr3:uid="{E728C81F-D16F-47F1-8BD2-CD6041662095}" name="CATEGORIA PRODUCTO" dataDxfId="0"/>
    <tableColumn id="2" xr3:uid="{EC4FC32D-6EDD-477E-A56C-4B4859EB1409}" name="PORCENTAJ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8BDC-FA59-4D77-BBF8-462635F4F1D2}">
  <dimension ref="A1:D16"/>
  <sheetViews>
    <sheetView tabSelected="1" workbookViewId="0">
      <selection activeCell="F3" sqref="F3"/>
    </sheetView>
  </sheetViews>
  <sheetFormatPr baseColWidth="10" defaultRowHeight="15" x14ac:dyDescent="0.25"/>
  <cols>
    <col min="1" max="1" width="14.28515625" customWidth="1"/>
    <col min="2" max="2" width="19" customWidth="1"/>
    <col min="3" max="3" width="24.28515625" customWidth="1"/>
    <col min="4" max="4" width="22.28515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8</v>
      </c>
    </row>
    <row r="2" spans="1:4" x14ac:dyDescent="0.25">
      <c r="A2" s="2">
        <v>12542</v>
      </c>
      <c r="B2" s="2" t="s">
        <v>10</v>
      </c>
      <c r="C2" s="2" t="s">
        <v>5</v>
      </c>
      <c r="D2" s="1">
        <f>VLOOKUP(Tabla1[[#This Row],[CATEGORIA PRODUCTO ]],Tabla2[],2,FALSE)</f>
        <v>0.15</v>
      </c>
    </row>
    <row r="3" spans="1:4" x14ac:dyDescent="0.25">
      <c r="A3" s="2">
        <v>26512</v>
      </c>
      <c r="B3" s="2" t="s">
        <v>12</v>
      </c>
      <c r="C3" s="2" t="s">
        <v>19</v>
      </c>
      <c r="D3" s="1">
        <f>VLOOKUP(Tabla1[[#This Row],[CATEGORIA PRODUCTO ]],Tabla2[],2,FALSE)</f>
        <v>0.12</v>
      </c>
    </row>
    <row r="4" spans="1:4" x14ac:dyDescent="0.25">
      <c r="A4" s="2">
        <v>56545</v>
      </c>
      <c r="B4" s="2" t="s">
        <v>11</v>
      </c>
      <c r="C4" s="2" t="s">
        <v>19</v>
      </c>
      <c r="D4" s="1">
        <f>VLOOKUP(Tabla1[[#This Row],[CATEGORIA PRODUCTO ]],Tabla2[],2,FALSE)</f>
        <v>0.12</v>
      </c>
    </row>
    <row r="5" spans="1:4" x14ac:dyDescent="0.25">
      <c r="A5" s="2">
        <v>89754</v>
      </c>
      <c r="B5" s="2" t="s">
        <v>15</v>
      </c>
      <c r="C5" s="2" t="s">
        <v>19</v>
      </c>
      <c r="D5" s="1">
        <f>VLOOKUP(Tabla1[[#This Row],[CATEGORIA PRODUCTO ]],Tabla2[],2,FALSE)</f>
        <v>0.12</v>
      </c>
    </row>
    <row r="6" spans="1:4" x14ac:dyDescent="0.25">
      <c r="A6" s="2"/>
      <c r="B6" s="2" t="s">
        <v>9</v>
      </c>
      <c r="C6" s="2" t="s">
        <v>4</v>
      </c>
      <c r="D6" s="1">
        <f>VLOOKUP(Tabla1[[#This Row],[CATEGORIA PRODUCTO ]],Tabla2[],2,FALSE)</f>
        <v>0.05</v>
      </c>
    </row>
    <row r="7" spans="1:4" x14ac:dyDescent="0.25">
      <c r="A7" s="2"/>
      <c r="B7" s="2" t="s">
        <v>13</v>
      </c>
      <c r="C7" s="2" t="s">
        <v>19</v>
      </c>
      <c r="D7" s="1">
        <f>VLOOKUP(Tabla1[[#This Row],[CATEGORIA PRODUCTO ]],Tabla2[],2,FALSE)</f>
        <v>0.12</v>
      </c>
    </row>
    <row r="8" spans="1:4" x14ac:dyDescent="0.25">
      <c r="A8" s="2"/>
      <c r="B8" s="2" t="s">
        <v>18</v>
      </c>
      <c r="C8" s="2" t="s">
        <v>4</v>
      </c>
      <c r="D8" s="1">
        <f>VLOOKUP(Tabla1[[#This Row],[CATEGORIA PRODUCTO ]],Tabla2[],2,FALSE)</f>
        <v>0.05</v>
      </c>
    </row>
    <row r="9" spans="1:4" x14ac:dyDescent="0.25">
      <c r="A9" s="2"/>
      <c r="B9" s="2" t="s">
        <v>14</v>
      </c>
      <c r="C9" s="2" t="s">
        <v>19</v>
      </c>
      <c r="D9" s="1">
        <f>VLOOKUP(Tabla1[[#This Row],[CATEGORIA PRODUCTO ]],Tabla2[],2,FALSE)</f>
        <v>0.12</v>
      </c>
    </row>
    <row r="10" spans="1:4" x14ac:dyDescent="0.25">
      <c r="A10" s="2"/>
      <c r="B10" s="2" t="s">
        <v>20</v>
      </c>
      <c r="C10" s="2" t="s">
        <v>6</v>
      </c>
      <c r="D10" s="1">
        <f>VLOOKUP(Tabla1[[#This Row],[CATEGORIA PRODUCTO ]],Tabla2[],2,FALSE)</f>
        <v>0.08</v>
      </c>
    </row>
    <row r="11" spans="1:4" x14ac:dyDescent="0.25">
      <c r="A11" s="2"/>
      <c r="B11" s="2" t="s">
        <v>15</v>
      </c>
      <c r="C11" s="2" t="s">
        <v>19</v>
      </c>
      <c r="D11" s="1">
        <f>VLOOKUP(Tabla1[[#This Row],[CATEGORIA PRODUCTO ]],Tabla2[],2,FALSE)</f>
        <v>0.12</v>
      </c>
    </row>
    <row r="12" spans="1:4" x14ac:dyDescent="0.25">
      <c r="A12" s="2"/>
      <c r="B12" s="2" t="s">
        <v>20</v>
      </c>
      <c r="C12" s="2" t="s">
        <v>6</v>
      </c>
      <c r="D12" s="1">
        <f>VLOOKUP(Tabla1[[#This Row],[CATEGORIA PRODUCTO ]],Tabla2[],2,FALSE)</f>
        <v>0.08</v>
      </c>
    </row>
    <row r="13" spans="1:4" x14ac:dyDescent="0.25">
      <c r="A13" s="2"/>
      <c r="B13" s="2" t="s">
        <v>16</v>
      </c>
      <c r="C13" s="2" t="s">
        <v>19</v>
      </c>
      <c r="D13" s="1">
        <f>VLOOKUP(Tabla1[[#This Row],[CATEGORIA PRODUCTO ]],Tabla2[],2,FALSE)</f>
        <v>0.12</v>
      </c>
    </row>
    <row r="14" spans="1:4" x14ac:dyDescent="0.25">
      <c r="A14" s="2"/>
      <c r="B14" s="2" t="s">
        <v>15</v>
      </c>
      <c r="C14" s="2" t="s">
        <v>19</v>
      </c>
      <c r="D14" s="1">
        <f>VLOOKUP(Tabla1[[#This Row],[CATEGORIA PRODUCTO ]],Tabla2[],2,FALSE)</f>
        <v>0.12</v>
      </c>
    </row>
    <row r="15" spans="1:4" x14ac:dyDescent="0.25">
      <c r="A15" s="2"/>
      <c r="B15" s="2" t="s">
        <v>9</v>
      </c>
      <c r="C15" s="2" t="s">
        <v>4</v>
      </c>
      <c r="D15" s="1">
        <f>VLOOKUP(Tabla1[[#This Row],[CATEGORIA PRODUCTO ]],Tabla2[],2,FALSE)</f>
        <v>0.05</v>
      </c>
    </row>
    <row r="16" spans="1:4" x14ac:dyDescent="0.25">
      <c r="B16" t="s">
        <v>17</v>
      </c>
      <c r="C16" t="s">
        <v>19</v>
      </c>
      <c r="D16" s="1">
        <f>VLOOKUP(Tabla1[[#This Row],[CATEGORIA PRODUCTO ]],Tabla2[],2,FALSE)</f>
        <v>0.12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5649-19D3-4DB3-9732-55F8ACC4840E}">
  <dimension ref="A1:B5"/>
  <sheetViews>
    <sheetView workbookViewId="0">
      <selection activeCell="B10" sqref="B10"/>
    </sheetView>
  </sheetViews>
  <sheetFormatPr baseColWidth="10" defaultRowHeight="15" x14ac:dyDescent="0.25"/>
  <cols>
    <col min="1" max="1" width="23.85546875" customWidth="1"/>
    <col min="2" max="2" width="22.5703125" customWidth="1"/>
  </cols>
  <sheetData>
    <row r="1" spans="1:2" x14ac:dyDescent="0.25">
      <c r="A1" s="3" t="s">
        <v>3</v>
      </c>
      <c r="B1" s="3" t="s">
        <v>7</v>
      </c>
    </row>
    <row r="2" spans="1:2" x14ac:dyDescent="0.25">
      <c r="A2" s="2" t="s">
        <v>19</v>
      </c>
      <c r="B2" s="1">
        <v>0.12</v>
      </c>
    </row>
    <row r="3" spans="1:2" x14ac:dyDescent="0.25">
      <c r="A3" s="2" t="s">
        <v>4</v>
      </c>
      <c r="B3" s="1">
        <v>0.05</v>
      </c>
    </row>
    <row r="4" spans="1:2" x14ac:dyDescent="0.25">
      <c r="A4" s="2" t="s">
        <v>5</v>
      </c>
      <c r="B4" s="1">
        <v>0.15</v>
      </c>
    </row>
    <row r="5" spans="1:2" x14ac:dyDescent="0.25">
      <c r="A5" s="2" t="s">
        <v>6</v>
      </c>
      <c r="B5" s="1">
        <v>0.08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ortega</dc:creator>
  <cp:lastModifiedBy>melvin ortega</cp:lastModifiedBy>
  <dcterms:created xsi:type="dcterms:W3CDTF">2026-05-21T16:33:13Z</dcterms:created>
  <dcterms:modified xsi:type="dcterms:W3CDTF">2026-05-21T16:59:18Z</dcterms:modified>
</cp:coreProperties>
</file>